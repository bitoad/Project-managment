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82FB99D4-0280-4096-9792-D34FDB343D54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Sheet1!$A$1:$K$26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1" i="1" l="1"/>
  <c r="J23" i="1" s="1"/>
  <c r="J22" i="1" l="1"/>
  <c r="J24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<sst xmlns="http://schemas.openxmlformats.org/spreadsheetml/2006/main" count="31" uniqueCount="31">
  <si>
    <t>Quotation</t>
  </si>
  <si>
    <t>STT</t>
  </si>
  <si>
    <t>Q.ty</t>
  </si>
  <si>
    <t>A</t>
  </si>
  <si>
    <t>PRODUCTION</t>
  </si>
  <si>
    <t xml:space="preserve">Golden Point Co. Ltd.                                  </t>
  </si>
  <si>
    <t>Golden Point Co., Ltd</t>
  </si>
  <si>
    <t>No. 69/20  Nguyen Gia Tri , Thanh My Tay  Ward ,  Hochiminh city. VN</t>
  </si>
  <si>
    <t>Tel: (84) 08-2216 9998 / 2219 0888  Fax: (84) 08-2217 7633</t>
  </si>
  <si>
    <t>Pcs</t>
  </si>
  <si>
    <t>TOTAL NO VAT</t>
  </si>
  <si>
    <t>ITEMS</t>
  </si>
  <si>
    <t>IMAGE</t>
  </si>
  <si>
    <t>DIMENSION</t>
  </si>
  <si>
    <t>UNIT</t>
  </si>
  <si>
    <t>UNIT PRICE</t>
  </si>
  <si>
    <t>EXT PRICE</t>
  </si>
  <si>
    <t>REMARK</t>
  </si>
  <si>
    <t>VN-HCM ,  2026</t>
  </si>
  <si>
    <t>Từ   : Golden Point</t>
  </si>
  <si>
    <t xml:space="preserve">Kính gửi </t>
  </si>
  <si>
    <t>chúng tôi trân trọng đính kèm báo giá để Quý vị xem xét.</t>
  </si>
  <si>
    <t>VAT (8%)</t>
  </si>
  <si>
    <t>TOTAL</t>
  </si>
  <si>
    <t>KHUNG TRANH</t>
  </si>
  <si>
    <t>To     :  Mrs Phương Anh</t>
  </si>
  <si>
    <t>Dự án:   Khung Tranh</t>
  </si>
  <si>
    <t>Mô Tả   : Production &amp; Packing</t>
  </si>
  <si>
    <r>
      <t xml:space="preserve">Khung Tranh
</t>
    </r>
    <r>
      <rPr>
        <sz val="14"/>
        <color theme="1"/>
        <rFont val="Arial"/>
        <family val="2"/>
      </rPr>
      <t>- KT: 205x150x70</t>
    </r>
    <r>
      <rPr>
        <b/>
        <sz val="14"/>
        <color theme="1"/>
        <rFont val="Arial"/>
        <family val="2"/>
      </rPr>
      <t xml:space="preserve">
</t>
    </r>
    <r>
      <rPr>
        <sz val="14"/>
        <color theme="1"/>
        <rFont val="Arial"/>
        <family val="2"/>
      </rPr>
      <t>- Sơn Tỉnh Điện màu đen</t>
    </r>
    <r>
      <rPr>
        <b/>
        <sz val="14"/>
        <color theme="1"/>
        <rFont val="Arial"/>
        <family val="2"/>
      </rPr>
      <t xml:space="preserve">
- Mica in uv 2 lớp chống trày
- Khoen gắn đi kèm.
- Bộ tool vít lắp ráp đi kèm
- Đống hộp carton 3 lớp</t>
    </r>
  </si>
  <si>
    <t>Ghi chú:
Giá trên đã bao gồm chi phí đóng gói.</t>
  </si>
  <si>
    <t>No: 1833-32/MRD/GPT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</si>
</sst>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</numFmts>
  <fonts count="30">
    <font>
      <sz val="11"/>
      <color theme="1"/>
      <name val="Calibri"/>
      <charset val="134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4"/>
      <name val="Verdana"/>
      <family val="2"/>
    </font>
    <font>
      <b/>
      <sz val="14"/>
      <color rgb="FF7F7F7F"/>
      <name val="Verdana"/>
      <family val="2"/>
    </font>
    <font>
      <sz val="14"/>
      <color rgb="FF7F7F7F"/>
      <name val="Verdana"/>
      <family val="2"/>
    </font>
    <font>
      <b/>
      <sz val="14"/>
      <name val="Verdana"/>
      <family val="2"/>
    </font>
    <font>
      <i/>
      <sz val="14"/>
      <name val="Verdana"/>
      <family val="2"/>
    </font>
    <font>
      <b/>
      <sz val="36"/>
      <name val="Verdana"/>
      <family val="2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6"/>
      <color theme="1"/>
      <name val="Verdana"/>
      <family val="2"/>
    </font>
    <font>
      <b/>
      <sz val="16"/>
      <color rgb="FF000000"/>
      <name val="Verdana"/>
      <family val="2"/>
    </font>
    <font>
      <sz val="16"/>
      <color theme="1"/>
      <name val="Calibri"/>
      <family val="2"/>
      <scheme val="minor"/>
    </font>
    <font>
      <sz val="14"/>
      <color theme="1"/>
      <name val="Verdana"/>
      <family val="2"/>
    </font>
    <font>
      <sz val="12"/>
      <color theme="1"/>
      <name val="Arial"/>
      <family val="2"/>
    </font>
    <font>
      <sz val="10"/>
      <color theme="1"/>
      <name val="Times New Roman"/>
      <family val="1"/>
    </font>
    <font>
      <b/>
      <sz val="12"/>
      <color rgb="FF98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2"/>
      <name val=".VnTime"/>
      <family val="2"/>
    </font>
    <font>
      <sz val="14"/>
      <color rgb="FF7F7F7F"/>
      <name val="Verdana"/>
      <family val="2"/>
    </font>
    <font>
      <b/>
      <sz val="28"/>
      <name val="Arial"/>
      <family val="2"/>
    </font>
    <font>
      <sz val="16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20"/>
      <name val="Times New Roman"/>
      <family val="1"/>
    </font>
    <font>
      <b/>
      <sz val="20"/>
      <color rgb="FFFF0000"/>
      <name val="Times New Roman"/>
      <family val="1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rgb="FF999999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19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20" fillId="0" borderId="0"/>
    <xf numFmtId="0" fontId="21" fillId="0" borderId="0"/>
  </cellStyleXfs>
  <cellXfs count="64">
    <xf numFmtId="0" fontId="0" fillId="0" borderId="0" xfId="0"/>
    <xf numFmtId="0" fontId="1" fillId="2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164" fontId="0" fillId="0" borderId="0" xfId="0" applyNumberFormat="1"/>
    <xf numFmtId="0" fontId="3" fillId="0" borderId="0" xfId="5" applyFont="1"/>
    <xf numFmtId="0" fontId="3" fillId="0" borderId="0" xfId="5" applyFont="1" applyAlignment="1">
      <alignment horizont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3" fillId="0" borderId="0" xfId="5" applyFont="1" applyAlignment="1">
      <alignment vertical="center"/>
    </xf>
    <xf numFmtId="164" fontId="3" fillId="0" borderId="0" xfId="5" applyNumberFormat="1" applyFont="1" applyAlignment="1">
      <alignment vertical="center"/>
    </xf>
    <xf numFmtId="14" fontId="6" fillId="0" borderId="0" xfId="6" applyNumberFormat="1" applyFont="1" applyAlignment="1">
      <alignment horizontal="center"/>
    </xf>
    <xf numFmtId="0" fontId="6" fillId="0" borderId="0" xfId="6" applyFont="1"/>
    <xf numFmtId="14" fontId="3" fillId="0" borderId="0" xfId="6" applyNumberFormat="1" applyFont="1" applyAlignment="1">
      <alignment horizontal="left" wrapText="1"/>
    </xf>
    <xf numFmtId="14" fontId="3" fillId="0" borderId="0" xfId="6" applyNumberFormat="1" applyFont="1" applyAlignment="1">
      <alignment horizontal="left"/>
    </xf>
    <xf numFmtId="164" fontId="3" fillId="0" borderId="0" xfId="6" applyNumberFormat="1" applyFont="1" applyAlignment="1">
      <alignment horizontal="left" wrapText="1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vertical="center"/>
    </xf>
    <xf numFmtId="0" fontId="10" fillId="4" borderId="6" xfId="0" applyFont="1" applyFill="1" applyBorder="1" applyAlignment="1">
      <alignment vertical="center"/>
    </xf>
    <xf numFmtId="0" fontId="12" fillId="0" borderId="0" xfId="0" applyFont="1"/>
    <xf numFmtId="164" fontId="12" fillId="0" borderId="0" xfId="0" applyNumberFormat="1" applyFont="1"/>
    <xf numFmtId="0" fontId="14" fillId="0" borderId="0" xfId="0" applyFont="1"/>
    <xf numFmtId="164" fontId="14" fillId="0" borderId="0" xfId="0" applyNumberFormat="1" applyFont="1"/>
    <xf numFmtId="0" fontId="15" fillId="0" borderId="0" xfId="0" applyFont="1"/>
    <xf numFmtId="0" fontId="9" fillId="4" borderId="11" xfId="0" applyFont="1" applyFill="1" applyBorder="1" applyAlignment="1">
      <alignment horizontal="center" vertical="center"/>
    </xf>
    <xf numFmtId="0" fontId="11" fillId="2" borderId="0" xfId="0" applyFont="1" applyFill="1" applyAlignment="1"/>
    <xf numFmtId="0" fontId="16" fillId="2" borderId="0" xfId="0" applyFont="1" applyFill="1" applyAlignment="1">
      <alignment horizontal="center"/>
    </xf>
    <xf numFmtId="0" fontId="10" fillId="4" borderId="12" xfId="0" applyFont="1" applyFill="1" applyBorder="1" applyAlignment="1">
      <alignment vertical="center"/>
    </xf>
    <xf numFmtId="0" fontId="11" fillId="0" borderId="0" xfId="0" applyFont="1" applyFill="1" applyAlignment="1"/>
    <xf numFmtId="0" fontId="17" fillId="0" borderId="0" xfId="0" applyFont="1" applyFill="1" applyAlignment="1"/>
    <xf numFmtId="0" fontId="10" fillId="5" borderId="8" xfId="0" applyFont="1" applyFill="1" applyBorder="1" applyAlignment="1">
      <alignment horizontal="center" vertical="center"/>
    </xf>
    <xf numFmtId="3" fontId="10" fillId="5" borderId="8" xfId="0" applyNumberFormat="1" applyFont="1" applyFill="1" applyBorder="1" applyAlignment="1">
      <alignment vertical="center"/>
    </xf>
    <xf numFmtId="0" fontId="10" fillId="5" borderId="9" xfId="0" applyFont="1" applyFill="1" applyBorder="1" applyAlignment="1">
      <alignment horizontal="center" vertical="center"/>
    </xf>
    <xf numFmtId="0" fontId="25" fillId="5" borderId="13" xfId="0" applyFont="1" applyFill="1" applyBorder="1" applyAlignment="1">
      <alignment vertical="center"/>
    </xf>
    <xf numFmtId="0" fontId="11" fillId="6" borderId="8" xfId="0" applyFont="1" applyFill="1" applyBorder="1" applyAlignment="1">
      <alignment vertical="center"/>
    </xf>
    <xf numFmtId="3" fontId="18" fillId="6" borderId="8" xfId="0" applyNumberFormat="1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vertical="center"/>
    </xf>
    <xf numFmtId="3" fontId="18" fillId="6" borderId="7" xfId="0" applyNumberFormat="1" applyFont="1" applyFill="1" applyBorder="1" applyAlignment="1">
      <alignment horizontal="center" vertical="center"/>
    </xf>
    <xf numFmtId="3" fontId="26" fillId="6" borderId="7" xfId="0" applyNumberFormat="1" applyFont="1" applyFill="1" applyBorder="1" applyAlignment="1">
      <alignment horizontal="right" vertical="center"/>
    </xf>
    <xf numFmtId="3" fontId="27" fillId="6" borderId="7" xfId="0" applyNumberFormat="1" applyFont="1" applyFill="1" applyBorder="1" applyAlignment="1">
      <alignment horizontal="right" vertical="center"/>
    </xf>
    <xf numFmtId="3" fontId="26" fillId="6" borderId="8" xfId="0" applyNumberFormat="1" applyFont="1" applyFill="1" applyBorder="1" applyAlignment="1">
      <alignment horizontal="right" vertical="center"/>
    </xf>
    <xf numFmtId="0" fontId="28" fillId="5" borderId="8" xfId="0" applyFont="1" applyFill="1" applyBorder="1" applyAlignment="1">
      <alignment horizontal="left" vertical="center" wrapText="1"/>
    </xf>
    <xf numFmtId="14" fontId="23" fillId="3" borderId="1" xfId="6" applyNumberFormat="1" applyFont="1" applyFill="1" applyBorder="1" applyAlignment="1">
      <alignment horizontal="center" vertical="center" wrapText="1"/>
    </xf>
    <xf numFmtId="14" fontId="8" fillId="3" borderId="2" xfId="6" applyNumberFormat="1" applyFont="1" applyFill="1" applyBorder="1" applyAlignment="1">
      <alignment horizontal="center" vertical="center" wrapText="1"/>
    </xf>
    <xf numFmtId="14" fontId="8" fillId="3" borderId="10" xfId="6" applyNumberFormat="1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24" fillId="0" borderId="14" xfId="0" applyFont="1" applyFill="1" applyBorder="1" applyAlignment="1">
      <alignment horizontal="left" vertical="center" wrapText="1"/>
    </xf>
    <xf numFmtId="0" fontId="24" fillId="0" borderId="15" xfId="0" applyFont="1" applyFill="1" applyBorder="1" applyAlignment="1">
      <alignment horizontal="left" vertical="center"/>
    </xf>
    <xf numFmtId="0" fontId="24" fillId="0" borderId="16" xfId="0" applyFont="1" applyFill="1" applyBorder="1" applyAlignment="1">
      <alignment horizontal="left" vertical="center"/>
    </xf>
    <xf numFmtId="0" fontId="9" fillId="6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5" applyFont="1" applyAlignment="1">
      <alignment horizontal="center"/>
    </xf>
    <xf numFmtId="0" fontId="5" fillId="0" borderId="0" xfId="0" applyFont="1" applyAlignment="1">
      <alignment horizontal="left" vertical="center"/>
    </xf>
    <xf numFmtId="0" fontId="3" fillId="0" borderId="0" xfId="5" applyFont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8" fillId="0" borderId="0" xfId="6" applyFont="1" applyAlignment="1">
      <alignment horizontal="center" vertical="center"/>
    </xf>
    <xf numFmtId="0" fontId="7" fillId="0" borderId="0" xfId="6" applyFont="1" applyAlignment="1">
      <alignment horizontal="right" vertical="center"/>
    </xf>
    <xf numFmtId="14" fontId="3" fillId="0" borderId="0" xfId="6" applyNumberFormat="1" applyFont="1" applyAlignment="1">
      <alignment horizontal="left" wrapText="1"/>
    </xf>
    <xf numFmtId="14" fontId="3" fillId="0" borderId="0" xfId="6" applyNumberFormat="1" applyFont="1" applyAlignment="1">
      <alignment horizontal="left"/>
    </xf>
  </cellXfs>
  <cellStyles count="7">
    <cellStyle name="%" xfId="1" xr:uid="{00000000-0005-0000-0000-000031000000}"/>
    <cellStyle name="Comma 2" xfId="2" xr:uid="{00000000-0005-0000-0000-000032000000}"/>
    <cellStyle name="Comma 3" xfId="3" xr:uid="{00000000-0005-0000-0000-000033000000}"/>
    <cellStyle name="Currency 3" xfId="4" xr:uid="{00000000-0005-0000-0000-000034000000}"/>
    <cellStyle name="Normal" xfId="0" builtinId="0"/>
    <cellStyle name="Normal 2" xfId="5" xr:uid="{00000000-0005-0000-0000-000035000000}"/>
    <cellStyle name="Normal_Sheet1" xfId="6" xr:uid="{00000000-0005-0000-0000-00003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65463</xdr:rowOff>
    </xdr:from>
    <xdr:to>
      <xdr:col>0</xdr:col>
      <xdr:colOff>680205</xdr:colOff>
      <xdr:row>2</xdr:row>
      <xdr:rowOff>218084</xdr:rowOff>
    </xdr:to>
    <xdr:pic>
      <xdr:nvPicPr>
        <xdr:cNvPr id="1025" name="Picture 1" descr="clip_image002.gif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5405"/>
          <a:ext cx="664210" cy="608330"/>
        </a:xfrm>
        <a:prstGeom prst="rect">
          <a:avLst/>
        </a:prstGeom>
        <a:noFill/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31"/>
  <sheetViews>
    <sheetView tabSelected="1" topLeftCell="A6" zoomScale="55" zoomScaleNormal="55" zoomScaleSheetLayoutView="42" zoomScalePageLayoutView="80" workbookViewId="0">
      <selection activeCell="D7" sqref="D7:J7"/>
    </sheetView>
  </sheetViews>
  <sheetFormatPr defaultColWidth="8.85546875" defaultRowHeight="15"/>
  <cols>
    <col min="1" max="1" width="15" customWidth="1"/>
    <col min="2" max="2" width="77.5703125" customWidth="1"/>
    <col min="3" max="3" width="53" customWidth="1"/>
    <col min="4" max="4" width="13.28515625" customWidth="1"/>
    <col min="5" max="5" width="15" customWidth="1"/>
    <col min="6" max="6" width="13.85546875" customWidth="1"/>
    <col min="7" max="7" width="18.42578125" style="4" customWidth="1"/>
    <col min="8" max="8" width="18" customWidth="1"/>
    <col min="9" max="10" width="34.42578125" customWidth="1"/>
    <col min="11" max="11" width="42.7109375" customWidth="1"/>
    <col min="12" max="12" width="14.85546875" customWidth="1"/>
    <col min="13" max="13" width="58.28515625" customWidth="1"/>
    <col min="14" max="14" width="14.28515625" customWidth="1"/>
  </cols>
  <sheetData>
    <row r="1" spans="1:11" ht="18">
      <c r="A1" s="5"/>
      <c r="B1" s="54" t="s">
        <v>6</v>
      </c>
      <c r="C1" s="54"/>
      <c r="D1" s="55"/>
      <c r="E1" s="55"/>
      <c r="F1" s="55"/>
      <c r="G1" s="55"/>
      <c r="H1" s="55"/>
      <c r="I1" s="55"/>
      <c r="J1" s="6"/>
      <c r="K1" s="24"/>
    </row>
    <row r="2" spans="1:11" ht="18">
      <c r="A2" s="5"/>
      <c r="B2" s="58" t="s">
        <v>7</v>
      </c>
      <c r="C2" s="59"/>
      <c r="D2" s="59"/>
      <c r="E2" s="59"/>
      <c r="F2" s="7"/>
      <c r="G2" s="8"/>
      <c r="H2" s="7"/>
      <c r="I2" s="7"/>
      <c r="J2" s="7"/>
      <c r="K2" s="24"/>
    </row>
    <row r="3" spans="1:11" ht="35.1" customHeight="1">
      <c r="A3" s="5"/>
      <c r="B3" s="56" t="s">
        <v>8</v>
      </c>
      <c r="C3" s="56"/>
      <c r="D3" s="9"/>
      <c r="E3" s="9"/>
      <c r="F3" s="9"/>
      <c r="G3" s="10"/>
      <c r="H3" s="9"/>
      <c r="I3" s="9"/>
      <c r="J3" s="9"/>
      <c r="K3" s="24"/>
    </row>
    <row r="4" spans="1:11" ht="22.5" customHeight="1">
      <c r="A4" s="5"/>
      <c r="B4" s="5"/>
      <c r="C4" s="5"/>
      <c r="D4" s="57"/>
      <c r="E4" s="57"/>
      <c r="F4" s="57"/>
      <c r="G4" s="57"/>
      <c r="H4" s="57"/>
      <c r="I4" s="57"/>
      <c r="J4" s="57"/>
      <c r="K4" s="24"/>
    </row>
    <row r="5" spans="1:11" ht="51.95" customHeight="1">
      <c r="A5" s="60" t="s">
        <v>0</v>
      </c>
      <c r="B5" s="60"/>
      <c r="C5" s="60"/>
      <c r="D5" s="60"/>
      <c r="E5" s="60"/>
      <c r="F5" s="60"/>
      <c r="G5" s="60"/>
      <c r="H5" s="60"/>
      <c r="I5" s="60"/>
      <c r="J5" s="60"/>
      <c r="K5" s="60"/>
    </row>
    <row r="6" spans="1:11" ht="22.5" customHeight="1">
      <c r="A6" s="11"/>
      <c r="B6" s="11"/>
      <c r="C6" s="12"/>
      <c r="D6" s="61" t="s">
        <v>18</v>
      </c>
      <c r="E6" s="61"/>
      <c r="F6" s="61"/>
      <c r="G6" s="61"/>
      <c r="H6" s="61"/>
      <c r="I6" s="61"/>
      <c r="J6" s="61"/>
      <c r="K6" s="24"/>
    </row>
    <row r="7" spans="1:11" ht="22.5" customHeight="1">
      <c r="A7" s="11"/>
      <c r="B7" s="11"/>
      <c r="C7" s="12"/>
      <c r="D7" s="61" t="s">
        <v>30</v>
      </c>
      <c r="E7" s="61"/>
      <c r="F7" s="61"/>
      <c r="G7" s="61"/>
      <c r="H7" s="61"/>
      <c r="I7" s="61"/>
      <c r="J7" s="61"/>
      <c r="K7" s="24"/>
    </row>
    <row r="8" spans="1:11" ht="24" customHeight="1">
      <c r="A8" s="62" t="s">
        <v>25</v>
      </c>
      <c r="B8" s="62"/>
      <c r="C8" s="63"/>
      <c r="D8" s="63"/>
      <c r="E8" s="63"/>
      <c r="F8" s="63"/>
      <c r="G8" s="63"/>
      <c r="H8" s="63"/>
      <c r="I8" s="63"/>
      <c r="J8" s="63"/>
      <c r="K8" s="24"/>
    </row>
    <row r="9" spans="1:11" ht="24" customHeight="1">
      <c r="A9" s="13"/>
      <c r="B9" s="63"/>
      <c r="C9" s="63"/>
      <c r="D9" s="14"/>
      <c r="E9" s="14"/>
      <c r="F9" s="14"/>
      <c r="G9" s="14"/>
      <c r="H9" s="14"/>
      <c r="I9" s="14"/>
      <c r="J9" s="14"/>
      <c r="K9" s="24"/>
    </row>
    <row r="10" spans="1:11" ht="24" customHeight="1">
      <c r="A10" s="62" t="s">
        <v>19</v>
      </c>
      <c r="B10" s="62"/>
      <c r="C10" s="62"/>
      <c r="D10" s="62"/>
      <c r="E10" s="62"/>
      <c r="F10" s="62"/>
      <c r="G10" s="62"/>
      <c r="H10" s="62"/>
      <c r="I10" s="62"/>
      <c r="J10" s="62"/>
      <c r="K10" s="24"/>
    </row>
    <row r="11" spans="1:11" ht="24" customHeight="1">
      <c r="A11" s="62" t="s">
        <v>26</v>
      </c>
      <c r="B11" s="62"/>
      <c r="C11" s="62"/>
      <c r="D11" s="62"/>
      <c r="E11" s="62"/>
      <c r="F11" s="62"/>
      <c r="G11" s="62"/>
      <c r="H11" s="62"/>
      <c r="I11" s="62"/>
      <c r="J11" s="62"/>
      <c r="K11" s="24"/>
    </row>
    <row r="12" spans="1:11" ht="24" customHeight="1">
      <c r="A12" s="62" t="s">
        <v>27</v>
      </c>
      <c r="B12" s="62"/>
      <c r="C12" s="62"/>
      <c r="D12" s="62"/>
      <c r="E12" s="62"/>
      <c r="F12" s="62"/>
      <c r="G12" s="62"/>
      <c r="H12" s="62"/>
      <c r="I12" s="62"/>
      <c r="J12" s="62"/>
      <c r="K12" s="24"/>
    </row>
    <row r="13" spans="1:11" ht="24" customHeight="1">
      <c r="A13" s="13"/>
      <c r="B13" s="13"/>
      <c r="C13" s="13"/>
      <c r="D13" s="13"/>
      <c r="E13" s="13"/>
      <c r="F13" s="13"/>
      <c r="G13" s="15"/>
      <c r="H13" s="13"/>
      <c r="I13" s="13"/>
      <c r="J13" s="13"/>
      <c r="K13" s="24"/>
    </row>
    <row r="14" spans="1:11" ht="24" customHeight="1">
      <c r="A14" s="62" t="s">
        <v>20</v>
      </c>
      <c r="B14" s="62"/>
      <c r="C14" s="62"/>
      <c r="D14" s="13"/>
      <c r="E14" s="13"/>
      <c r="F14" s="13"/>
      <c r="G14" s="15"/>
      <c r="H14" s="13"/>
      <c r="I14" s="13"/>
      <c r="J14" s="13"/>
      <c r="K14" s="24"/>
    </row>
    <row r="15" spans="1:11" ht="33" customHeight="1">
      <c r="A15" s="62" t="s">
        <v>21</v>
      </c>
      <c r="B15" s="62"/>
      <c r="C15" s="62"/>
      <c r="D15" s="62"/>
      <c r="E15" s="62"/>
      <c r="F15" s="62"/>
      <c r="G15" s="62"/>
      <c r="H15" s="62"/>
      <c r="I15" s="62"/>
      <c r="J15" s="62"/>
      <c r="K15" s="24"/>
    </row>
    <row r="16" spans="1:11" ht="33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24"/>
    </row>
    <row r="17" spans="1:24" ht="33" customHeight="1" thickBo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24"/>
    </row>
    <row r="18" spans="1:24" ht="66" customHeight="1" thickBot="1">
      <c r="A18" s="43" t="s">
        <v>24</v>
      </c>
      <c r="B18" s="44"/>
      <c r="C18" s="44"/>
      <c r="D18" s="44"/>
      <c r="E18" s="44"/>
      <c r="F18" s="44"/>
      <c r="G18" s="44"/>
      <c r="H18" s="44"/>
      <c r="I18" s="44"/>
      <c r="J18" s="44"/>
      <c r="K18" s="45"/>
    </row>
    <row r="19" spans="1:24" s="1" customFormat="1" ht="44.1" customHeight="1" thickBot="1">
      <c r="A19" s="16" t="s">
        <v>1</v>
      </c>
      <c r="B19" s="17" t="s">
        <v>11</v>
      </c>
      <c r="C19" s="17" t="s">
        <v>12</v>
      </c>
      <c r="D19" s="46" t="s">
        <v>13</v>
      </c>
      <c r="E19" s="47"/>
      <c r="F19" s="47"/>
      <c r="G19" s="17" t="s">
        <v>14</v>
      </c>
      <c r="H19" s="17" t="s">
        <v>2</v>
      </c>
      <c r="I19" s="17" t="s">
        <v>15</v>
      </c>
      <c r="J19" s="17" t="s">
        <v>16</v>
      </c>
      <c r="K19" s="25" t="s">
        <v>17</v>
      </c>
      <c r="L19" s="26"/>
      <c r="M19" s="27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</row>
    <row r="20" spans="1:24" s="1" customFormat="1" ht="45" customHeight="1">
      <c r="A20" s="18" t="s">
        <v>3</v>
      </c>
      <c r="B20" s="19" t="s">
        <v>4</v>
      </c>
      <c r="C20" s="19"/>
      <c r="D20" s="19"/>
      <c r="E20" s="19"/>
      <c r="F20" s="19"/>
      <c r="G20" s="19"/>
      <c r="H20" s="19"/>
      <c r="I20" s="19"/>
      <c r="J20" s="19"/>
      <c r="K20" s="28"/>
      <c r="L20" s="26"/>
      <c r="M20" s="27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</row>
    <row r="21" spans="1:24" s="2" customFormat="1" ht="255" customHeight="1">
      <c r="A21" s="33">
        <v>1</v>
      </c>
      <c r="B21" s="42" t="s">
        <v>28</v>
      </c>
      <c r="C21" s="31" t="e" vm="1">
        <v>#VALUE!</v>
      </c>
      <c r="D21" s="31">
        <v>205</v>
      </c>
      <c r="E21" s="31">
        <v>150</v>
      </c>
      <c r="F21" s="31">
        <v>70</v>
      </c>
      <c r="G21" s="31" t="s">
        <v>9</v>
      </c>
      <c r="H21" s="31">
        <v>30</v>
      </c>
      <c r="I21" s="32">
        <v>911000</v>
      </c>
      <c r="J21" s="32">
        <f>I21*H21</f>
        <v>27330000</v>
      </c>
      <c r="K21" s="34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</row>
    <row r="22" spans="1:24" s="2" customFormat="1" ht="42" customHeight="1">
      <c r="A22" s="35"/>
      <c r="B22" s="53" t="s">
        <v>10</v>
      </c>
      <c r="C22" s="53"/>
      <c r="D22" s="53"/>
      <c r="E22" s="53"/>
      <c r="F22" s="53"/>
      <c r="G22" s="53"/>
      <c r="H22" s="53"/>
      <c r="I22" s="36"/>
      <c r="J22" s="41">
        <f>J21</f>
        <v>27330000</v>
      </c>
      <c r="K22" s="35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</row>
    <row r="23" spans="1:24" s="2" customFormat="1" ht="42" customHeight="1">
      <c r="A23" s="37"/>
      <c r="B23" s="48" t="s">
        <v>22</v>
      </c>
      <c r="C23" s="48"/>
      <c r="D23" s="48"/>
      <c r="E23" s="48"/>
      <c r="F23" s="48"/>
      <c r="G23" s="48"/>
      <c r="H23" s="48"/>
      <c r="I23" s="38"/>
      <c r="J23" s="39">
        <f>J21*0.08</f>
        <v>2186400</v>
      </c>
      <c r="K23" s="37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</row>
    <row r="24" spans="1:24" s="3" customFormat="1" ht="51.75" customHeight="1">
      <c r="A24" s="37"/>
      <c r="B24" s="48" t="s">
        <v>23</v>
      </c>
      <c r="C24" s="48"/>
      <c r="D24" s="48"/>
      <c r="E24" s="48"/>
      <c r="F24" s="48"/>
      <c r="G24" s="48"/>
      <c r="H24" s="48"/>
      <c r="I24" s="38"/>
      <c r="J24" s="40">
        <f>SUM(J21:J21)</f>
        <v>27330000</v>
      </c>
      <c r="K24" s="37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</row>
    <row r="25" spans="1:24" s="3" customFormat="1" ht="95.25" customHeight="1">
      <c r="A25" s="50" t="s">
        <v>29</v>
      </c>
      <c r="B25" s="51"/>
      <c r="C25" s="51"/>
      <c r="D25" s="51"/>
      <c r="E25" s="51"/>
      <c r="F25" s="51"/>
      <c r="G25" s="51"/>
      <c r="H25" s="51"/>
      <c r="I25" s="51"/>
      <c r="J25" s="51"/>
      <c r="K25" s="52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</row>
    <row r="26" spans="1:24" ht="77.099999999999994" customHeight="1">
      <c r="A26" s="20"/>
      <c r="B26" s="49" t="s">
        <v>5</v>
      </c>
      <c r="C26" s="49"/>
      <c r="D26" s="20"/>
      <c r="E26" s="20"/>
      <c r="F26" s="21"/>
      <c r="G26" s="20"/>
      <c r="H26" s="49"/>
      <c r="I26" s="49"/>
      <c r="J26" s="49"/>
      <c r="K26" s="49"/>
    </row>
    <row r="27" spans="1:24" ht="21">
      <c r="A27" s="22"/>
      <c r="B27" s="22"/>
      <c r="C27" s="22"/>
      <c r="D27" s="22"/>
      <c r="E27" s="22"/>
      <c r="F27" s="22"/>
      <c r="G27" s="23"/>
      <c r="H27" s="22"/>
      <c r="I27" s="22"/>
      <c r="J27" s="22"/>
      <c r="K27" s="22"/>
    </row>
    <row r="28" spans="1:24" ht="21">
      <c r="A28" s="22"/>
      <c r="B28" s="22"/>
      <c r="C28" s="22"/>
      <c r="D28" s="22"/>
      <c r="E28" s="22"/>
      <c r="F28" s="22"/>
      <c r="G28" s="23"/>
      <c r="H28" s="22"/>
      <c r="I28" s="22"/>
      <c r="J28" s="22"/>
      <c r="K28" s="22"/>
    </row>
    <row r="29" spans="1:24" ht="21">
      <c r="A29" s="22"/>
      <c r="B29" s="22"/>
      <c r="C29" s="22"/>
      <c r="D29" s="22"/>
      <c r="E29" s="22"/>
      <c r="F29" s="22"/>
      <c r="G29" s="23"/>
      <c r="H29" s="22"/>
      <c r="I29" s="22"/>
      <c r="J29" s="22"/>
      <c r="K29" s="22"/>
    </row>
    <row r="30" spans="1:24" ht="21">
      <c r="A30" s="22"/>
      <c r="B30" s="22"/>
      <c r="C30" s="22"/>
      <c r="D30" s="22"/>
      <c r="E30" s="22"/>
      <c r="F30" s="22"/>
      <c r="G30" s="23"/>
      <c r="H30" s="22"/>
      <c r="I30" s="22"/>
      <c r="J30" s="22"/>
      <c r="K30" s="22"/>
    </row>
    <row r="31" spans="1:24" ht="21">
      <c r="A31" s="22"/>
      <c r="B31" s="22"/>
      <c r="C31" s="22"/>
      <c r="D31" s="22"/>
      <c r="E31" s="22"/>
      <c r="F31" s="22"/>
      <c r="G31" s="23"/>
      <c r="H31" s="22"/>
      <c r="I31" s="22"/>
      <c r="J31" s="22"/>
      <c r="K31" s="22"/>
    </row>
  </sheetData>
  <mergeCells count="23">
    <mergeCell ref="A10:J10"/>
    <mergeCell ref="A11:J11"/>
    <mergeCell ref="A12:J12"/>
    <mergeCell ref="A14:C14"/>
    <mergeCell ref="A15:J15"/>
    <mergeCell ref="A5:K5"/>
    <mergeCell ref="D6:J6"/>
    <mergeCell ref="D7:J7"/>
    <mergeCell ref="A8:J8"/>
    <mergeCell ref="B9:C9"/>
    <mergeCell ref="B1:C1"/>
    <mergeCell ref="D1:I1"/>
    <mergeCell ref="B3:C3"/>
    <mergeCell ref="D4:J4"/>
    <mergeCell ref="B2:E2"/>
    <mergeCell ref="A18:K18"/>
    <mergeCell ref="D19:F19"/>
    <mergeCell ref="B24:H24"/>
    <mergeCell ref="B26:C26"/>
    <mergeCell ref="H26:K26"/>
    <mergeCell ref="A25:K25"/>
    <mergeCell ref="B23:H23"/>
    <mergeCell ref="B22:H22"/>
  </mergeCells>
  <pageMargins left="0.5" right="0.2" top="0.75" bottom="0.5" header="0.3" footer="0.3"/>
  <pageSetup paperSize="9" scale="2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Administrator</cp:lastModifiedBy>
  <cp:lastPrinted>2026-05-07T04:12:20Z</cp:lastPrinted>
  <dcterms:created xsi:type="dcterms:W3CDTF">2014-09-18T04:00:00Z</dcterms:created>
  <dcterms:modified xsi:type="dcterms:W3CDTF">2026-07-01T09:13:23Z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8C0240806C7D45729396D1C8529B5BC5_13</vt:lpwstr>
  </property>
  <property fmtid="{D5CDD505-2E9C-101B-9397-08002B2CF9AE}" pid="3" name="KSOProductBuildVer">
    <vt:lpwstr>1033-12.2.0.23155</vt:lpwstr>
  </property>
</Properties>
</file>